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650D85F-C357-413B-8924-38C82D4AB1BD}" xr6:coauthVersionLast="47" xr6:coauthVersionMax="47" xr10:uidLastSave="{00000000-0000-0000-0000-000000000000}"/>
  <bookViews>
    <workbookView xWindow="-110" yWindow="-110" windowWidth="25820" windowHeight="15500" xr2:uid="{6F75D8A4-5858-48F8-8FE1-1A140C98C925}"/>
  </bookViews>
  <sheets>
    <sheet name="Sheet1" sheetId="1" r:id="rId1"/>
  </sheets>
  <definedNames>
    <definedName name="solver_adj" localSheetId="0" hidden="1">Sheet1!$B$17:$C$17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Sheet1!$D$12:$D$14</definedName>
    <definedName name="solver_lhs2" localSheetId="0" hidden="1">Sheet1!$F$6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Sheet1!$B$19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Sheet1!$E$12:$E$14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D14" i="1"/>
  <c r="D13" i="1"/>
  <c r="D12" i="1"/>
  <c r="F6" i="1"/>
  <c r="B7" i="1"/>
  <c r="F4" i="1"/>
  <c r="F3" i="1"/>
</calcChain>
</file>

<file path=xl/sharedStrings.xml><?xml version="1.0" encoding="utf-8"?>
<sst xmlns="http://schemas.openxmlformats.org/spreadsheetml/2006/main" count="24" uniqueCount="24">
  <si>
    <t>例2-12</t>
    <phoneticPr fontId="2" type="noConversion"/>
  </si>
  <si>
    <t>营养成分</t>
    <phoneticPr fontId="2" type="noConversion"/>
  </si>
  <si>
    <t>玉米</t>
    <phoneticPr fontId="2" type="noConversion"/>
  </si>
  <si>
    <t>槽料</t>
    <phoneticPr fontId="2" type="noConversion"/>
  </si>
  <si>
    <t>苜蓿</t>
    <phoneticPr fontId="2" type="noConversion"/>
  </si>
  <si>
    <t>最小需求量</t>
    <phoneticPr fontId="2" type="noConversion"/>
  </si>
  <si>
    <t>混合含量</t>
    <phoneticPr fontId="2" type="noConversion"/>
  </si>
  <si>
    <t>碳水化合物</t>
    <phoneticPr fontId="2" type="noConversion"/>
  </si>
  <si>
    <t>蛋白质</t>
    <phoneticPr fontId="2" type="noConversion"/>
  </si>
  <si>
    <t>成本（元）</t>
    <phoneticPr fontId="2" type="noConversion"/>
  </si>
  <si>
    <t>配方百分比</t>
    <phoneticPr fontId="2" type="noConversion"/>
  </si>
  <si>
    <t>混合饲料成本</t>
    <phoneticPr fontId="2" type="noConversion"/>
  </si>
  <si>
    <t>例2-14</t>
    <phoneticPr fontId="2" type="noConversion"/>
  </si>
  <si>
    <t>产品</t>
    <phoneticPr fontId="2" type="noConversion"/>
  </si>
  <si>
    <t>去污剂</t>
    <phoneticPr fontId="2" type="noConversion"/>
  </si>
  <si>
    <t>液体洗涤剂</t>
    <phoneticPr fontId="2" type="noConversion"/>
  </si>
  <si>
    <t>洗衣粉</t>
    <phoneticPr fontId="2" type="noConversion"/>
  </si>
  <si>
    <t>单位成本</t>
    <phoneticPr fontId="2" type="noConversion"/>
  </si>
  <si>
    <t>决策变量投放数</t>
    <phoneticPr fontId="2" type="noConversion"/>
  </si>
  <si>
    <t>总成本</t>
    <phoneticPr fontId="2" type="noConversion"/>
  </si>
  <si>
    <t>电视</t>
    <phoneticPr fontId="2" type="noConversion"/>
  </si>
  <si>
    <t>印刷媒体</t>
    <phoneticPr fontId="2" type="noConversion"/>
  </si>
  <si>
    <t>实际增加份额</t>
    <phoneticPr fontId="2" type="noConversion"/>
  </si>
  <si>
    <t>目标份额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</si>
</sst>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7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C115-CC54-4DCF-AD46-2191B96E0986}">
  <dimension ref="A1:F19"/>
  <sheetViews>
    <sheetView tabSelected="1" workbookViewId="0">
      <selection activeCell="D19" sqref="D19"/>
    </sheetView>
  </sheetViews>
  <sheetFormatPr defaultRowHeight="14" x14ac:dyDescent="0.3"/>
  <cols>
    <col min="1" max="1" width="12" customWidth="1"/>
    <col min="5" max="5" width="10.1640625" customWidth="1"/>
    <col min="6" max="6" width="9.58203125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>
        <v>90</v>
      </c>
      <c r="C3">
        <v>20</v>
      </c>
      <c r="D3">
        <v>40</v>
      </c>
      <c r="E3">
        <v>60</v>
      </c>
      <c r="F3" s="3">
        <f>B3*B6+C3*C6+D3*D6</f>
        <v>60.000000000000007</v>
      </c>
    </row>
    <row r="4" spans="1:6" x14ac:dyDescent="0.3">
      <c r="A4" t="s">
        <v>8</v>
      </c>
      <c r="B4">
        <v>40</v>
      </c>
      <c r="C4">
        <v>80</v>
      </c>
      <c r="D4">
        <v>60</v>
      </c>
      <c r="E4">
        <v>55</v>
      </c>
      <c r="F4" s="3">
        <f>B4*B6+C4*C6+D4*D6</f>
        <v>57.142857142857139</v>
      </c>
    </row>
    <row r="5" spans="1:6" x14ac:dyDescent="0.3">
      <c r="A5" t="s">
        <v>9</v>
      </c>
      <c r="B5">
        <v>3</v>
      </c>
      <c r="C5">
        <v>2.2999999999999998</v>
      </c>
      <c r="D5">
        <v>2.5</v>
      </c>
    </row>
    <row r="6" spans="1:6" x14ac:dyDescent="0.3">
      <c r="A6" t="s">
        <v>10</v>
      </c>
      <c r="B6" s="2">
        <v>0.57142857142857151</v>
      </c>
      <c r="C6" s="2">
        <v>0.42857142857142844</v>
      </c>
      <c r="D6" s="2">
        <v>0</v>
      </c>
      <c r="F6" s="1">
        <f>B6+C6+D6</f>
        <v>1</v>
      </c>
    </row>
    <row r="7" spans="1:6" x14ac:dyDescent="0.3">
      <c r="A7" t="s">
        <v>11</v>
      </c>
      <c r="B7">
        <f>B5*B6+C5*C6+D5*D6</f>
        <v>2.6999999999999997</v>
      </c>
    </row>
    <row r="10" spans="1:6" x14ac:dyDescent="0.3">
      <c r="A10" t="s">
        <v>12</v>
      </c>
    </row>
    <row r="11" spans="1:6" x14ac:dyDescent="0.3">
      <c r="A11" t="s">
        <v>13</v>
      </c>
      <c r="B11" t="s">
        <v>20</v>
      </c>
      <c r="C11" t="s">
        <v>21</v>
      </c>
      <c r="D11" t="s">
        <v>22</v>
      </c>
      <c r="E11" t="s">
        <v>23</v>
      </c>
    </row>
    <row r="12" spans="1:6" x14ac:dyDescent="0.3">
      <c r="A12" t="s">
        <v>14</v>
      </c>
      <c r="B12">
        <v>0</v>
      </c>
      <c r="C12">
        <v>1</v>
      </c>
      <c r="D12">
        <f>B12*B17+C12*C17</f>
        <v>4</v>
      </c>
      <c r="E12">
        <v>4</v>
      </c>
    </row>
    <row r="13" spans="1:6" x14ac:dyDescent="0.3">
      <c r="A13" t="s">
        <v>15</v>
      </c>
      <c r="B13">
        <v>3</v>
      </c>
      <c r="C13">
        <v>2</v>
      </c>
      <c r="D13">
        <f>B13*B17+C13*C17</f>
        <v>16</v>
      </c>
      <c r="E13">
        <v>16</v>
      </c>
    </row>
    <row r="14" spans="1:6" x14ac:dyDescent="0.3">
      <c r="A14" t="s">
        <v>16</v>
      </c>
      <c r="B14">
        <v>-1</v>
      </c>
      <c r="C14">
        <v>4</v>
      </c>
      <c r="D14">
        <f>B14*B17+C14*C17</f>
        <v>13.333333333333334</v>
      </c>
      <c r="E14">
        <v>5</v>
      </c>
    </row>
    <row r="15" spans="1:6" x14ac:dyDescent="0.3">
      <c r="A15" t="s">
        <v>17</v>
      </c>
      <c r="B15">
        <v>150</v>
      </c>
      <c r="C15">
        <v>180</v>
      </c>
    </row>
    <row r="17" spans="1:3" x14ac:dyDescent="0.3">
      <c r="A17" t="s">
        <v>18</v>
      </c>
      <c r="B17">
        <v>2.6666666666666665</v>
      </c>
      <c r="C17">
        <v>4</v>
      </c>
    </row>
    <row r="19" spans="1:3" x14ac:dyDescent="0.3">
      <c r="A19" t="s">
        <v>19</v>
      </c>
      <c r="B19">
        <f>B17*150+C17*180</f>
        <v>1120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Xinlei Wang</dc:creator>
  <cp:lastModifiedBy>Taiyan Chi</cp:lastModifiedBy>
  <dcterms:created xsi:type="dcterms:W3CDTF">2026-03-22T05:01:52Z</dcterms:created>
  <dcterms:modified xsi:type="dcterms:W3CDTF">2026-03-22T06:07:10Z</dcterms:modified>
</cp:coreProperties>
</file>